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A957DD1B-7DD8-4E7F-8520-5CB899C7C4AF}"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<sst xmlns="http://schemas.openxmlformats.org/spreadsheetml/2006/main" count="141" uniqueCount="111">
  <si>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</si>
  <si>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</si>
  <si>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</si>
  <si>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</si>
  <si>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</si>
  <si>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</si>
  <si>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</si>
  <si>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</si>
  <si>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</si>
  <si>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</si>
  <si>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</si>
  <si>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</si>
  <si>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</si>
  <si>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</si>
  <si>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</si>
  <si>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</si>
  <si>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</si>
  <si>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</si>
  <si>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</si>
  <si>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</si>
  <si>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</si>
  <si>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</si>
  <si>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</si>
  <si>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</si>
  <si>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</si>
  <si>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</si>
  <si>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</si>
  <si>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</si>
  <si>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</si>
  <si>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</si>
  <si>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</si>
  <si>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</si>
  <si>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</si>
  <si>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</si>
  <si>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</si>
  <si>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</si>
  <si>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</si>
  <si>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</si>
  <si>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</si>
  <si>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</si>
  <si>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</si>
  <si>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</si>
  <si>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</si>
  <si>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</si>
  <si>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</si>
  <si>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</si>
  <si>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</si>
  <si>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</si>
  <si>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</si>
  <si>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</si>
  <si>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</si>
  <si>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</si>
  <si>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</si>
  <si>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</si>
  <si>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</si>
  <si>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</si>
  <si>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</si>
  <si>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</si>
  <si>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</si>
  <si>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</si>
  <si>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</si>
  <si>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</si>
  <si>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</si>
  <si>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</si>
  <si>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</si>
  <si>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</si>
  <si>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</si>
  <si>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</si>
  <si>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</si>
  <si>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</si>
  <si>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</si>
  <si>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</si>
  <si>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</si>
  <si>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</si>
  <si>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</si>
  <si>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</si>
  <si>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</si>
  <si>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</si>
  <si>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</si>
  <si>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</si>
  <si>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</si>
  <si>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</si>
  <si>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</si>
  <si>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</si>
  <si>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</si>
  <si>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</si>
  <si>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</si>
  <si>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</si>
  <si>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</si>
  <si>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</si>
  <si>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</si>
  <si>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</si>
  <si>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</si>
  <si>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</si>
  <si>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</si>
  <si>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</si>
  <si>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</si>
  <si>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</si>
  <si>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</si>
  <si>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</si>
  <si>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</si>
  <si>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Damaged near outlet. Small stream but flowing. Middle of pipe filled with fines. 11:18</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</si>
  <si>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</si>
  <si>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</si>
  <si>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</si>
  <si>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</si>
  <si>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</si>
  <si>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 Resource Demographic</t>
  </si>
  <si>
    <t xml:space="preserve">Culvert has baffles in it but has significant riprap at the outlet that creates cascade approximately 0.5 m high. 14:36         </t>
  </si>
  <si>
    <t>tributary to Parsnip River</t>
  </si>
  <si>
    <t xml:space="preserve">tributary to Missinka 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</si>
</sst>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10" borderId="0" xfId="0" applyFill="1" applyProtection="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1"/>
    </row>
    <row r="8" spans="1:20" x14ac:dyDescent="0.25">
      <c r="A8" s="4" t="s">
        <v>73</v>
      </c>
    </row>
    <row r="9" spans="1:20" x14ac:dyDescent="0.25">
      <c r="A9" s="4" t="s">
        <v>74</v>
      </c>
    </row>
    <row r="10" spans="1:20" x14ac:dyDescent="0.25">
      <c r="A10" s="4" t="s">
        <v>75</v>
      </c>
      <c r="B10" s="82"/>
    </row>
    <row r="11" spans="1:20" x14ac:dyDescent="0.25">
      <c r="A11" s="4"/>
      <c r="B11" s="10"/>
    </row>
    <row r="12" spans="1:20" x14ac:dyDescent="0.25">
      <c r="A12" s="4" t="s">
        <v>36</v>
      </c>
      <c r="B12" s="81"/>
    </row>
    <row r="13" spans="1:20" x14ac:dyDescent="0.25">
      <c r="A13" s="4" t="s">
        <v>37</v>
      </c>
    </row>
    <row r="14" spans="1:20" x14ac:dyDescent="0.25">
      <c r="A14" s="4" t="s">
        <v>38</v>
      </c>
    </row>
    <row r="15" spans="1:20" x14ac:dyDescent="0.25">
      <c r="A15" s="4" t="s">
        <v>39</v>
      </c>
      <c r="B15" s="82"/>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5" sqref="H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110</v>
      </c>
      <c r="I5" s="11" t="s">
        <v>104</v>
      </c>
      <c r="J5" s="33">
        <v>1263</v>
      </c>
      <c r="K5" s="11" t="s">
        <v>107</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8" t="s">
        <v>103</v>
      </c>
      <c r="AO5" s="88">
        <v>13</v>
      </c>
      <c r="AP5" s="78" t="s">
        <v>102</v>
      </c>
    </row>
    <row r="6" spans="1:42" ht="30" x14ac:dyDescent="0.25">
      <c r="A6" s="59">
        <v>44787</v>
      </c>
      <c r="B6" s="58">
        <v>6745</v>
      </c>
      <c r="D6" s="10" t="s">
        <v>92</v>
      </c>
      <c r="E6" s="11">
        <v>10</v>
      </c>
      <c r="F6" s="39">
        <v>533992</v>
      </c>
      <c r="G6" s="39">
        <v>6076165</v>
      </c>
      <c r="H6" s="10" t="s">
        <v>109</v>
      </c>
      <c r="I6" s="11" t="s">
        <v>105</v>
      </c>
      <c r="J6" s="33">
        <v>3</v>
      </c>
      <c r="K6" s="10" t="s">
        <v>107</v>
      </c>
      <c r="L6" s="10" t="s">
        <v>93</v>
      </c>
      <c r="M6" s="10" t="s">
        <v>94</v>
      </c>
      <c r="N6" s="83">
        <v>1.6</v>
      </c>
      <c r="O6" s="83">
        <v>14.1</v>
      </c>
      <c r="P6" s="10" t="s">
        <v>97</v>
      </c>
      <c r="Q6" s="10">
        <v>0.25</v>
      </c>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10</v>
      </c>
      <c r="AM6" s="14" t="str">
        <f t="shared" ref="AM6:AM67" si="7">IF(ISBLANK(L6), "", IF(L6 = "Open Bottom Structure", "Passable", IF(L6 = "Other", "Unknown", IF(AL6 &lt; 15, "Passable", IF(AND(AL6 &gt;= 15,AL6 &lt;= 19), "Potential", IF(AL6 &gt; 19, "Barrier", ""))))))</f>
        <v>Passable</v>
      </c>
      <c r="AN6" s="87"/>
      <c r="AO6" s="87"/>
      <c r="AP6" s="78" t="s">
        <v>101</v>
      </c>
    </row>
    <row r="7" spans="1:42" x14ac:dyDescent="0.25">
      <c r="A7" s="59">
        <v>44788</v>
      </c>
      <c r="B7" s="58">
        <v>125261</v>
      </c>
      <c r="D7" s="10" t="s">
        <v>92</v>
      </c>
      <c r="E7" s="11">
        <v>10</v>
      </c>
      <c r="F7" s="39">
        <v>534600</v>
      </c>
      <c r="G7" s="39">
        <v>6067770</v>
      </c>
      <c r="H7" s="10" t="s">
        <v>95</v>
      </c>
      <c r="I7" s="11" t="s">
        <v>106</v>
      </c>
      <c r="J7" s="33">
        <v>2</v>
      </c>
      <c r="K7" s="10" t="s">
        <v>107</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103</v>
      </c>
      <c r="AO7" s="10">
        <v>10</v>
      </c>
      <c r="AP7" s="10" t="s">
        <v>108</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7LkzUzevp3bRpaOKaQmpErO3MPiGXg7OMCr0JTPd9m9g7ZxPyurPvIADraBLKwS/3tHb/I/Fx7wVF3crykSxg==" saltValue="i8YabixM6Zv2k8QS8QxVy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2023-03-23T23:29:36Z</dcterms:modified>
</cp:coreProperties>
</file>