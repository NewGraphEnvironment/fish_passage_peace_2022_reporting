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11FBFB9F-C199-4690-A98D-EC112F934BA4}"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<sst xmlns="http://schemas.openxmlformats.org/spreadsheetml/2006/main" count="142" uniqueCount="112">
  <si>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</si>
  <si>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</si>
  <si>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</si>
  <si>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</si>
  <si>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</si>
  <si>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</si>
  <si>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</si>
  <si>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</si>
  <si>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</si>
  <si>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</si>
  <si>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</si>
  <si>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</si>
  <si>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</si>
  <si>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</si>
  <si>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</si>
  <si>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</si>
  <si>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</si>
  <si>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</si>
  <si>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</si>
  <si>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</si>
  <si>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</si>
  <si>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</si>
  <si>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</si>
  <si>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</si>
  <si>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</si>
  <si>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</si>
  <si>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</si>
  <si>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</si>
  <si>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</si>
  <si>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</si>
  <si>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</si>
  <si>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</si>
  <si>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</si>
  <si>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</si>
  <si>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</si>
  <si>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</si>
  <si>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</si>
  <si>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</si>
  <si>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</si>
  <si>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</si>
  <si>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</si>
  <si>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</si>
  <si>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</si>
  <si>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</si>
  <si>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</si>
  <si>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</si>
  <si>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</si>
  <si>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</si>
  <si>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</si>
  <si>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</si>
  <si>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</si>
  <si>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</si>
  <si>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</si>
  <si>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</si>
  <si>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</si>
  <si>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</si>
  <si>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</si>
  <si>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</si>
  <si>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</si>
  <si>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</si>
  <si>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</si>
  <si>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</si>
  <si>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</si>
  <si>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</si>
  <si>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</si>
  <si>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</si>
  <si>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</si>
  <si>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</si>
  <si>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</si>
  <si>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</si>
  <si>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</si>
  <si>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</si>
  <si>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</si>
  <si>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</si>
  <si>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</si>
  <si>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</si>
  <si>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</si>
  <si>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</si>
  <si>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</si>
  <si>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</si>
  <si>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</si>
  <si>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</si>
  <si>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</si>
  <si>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</si>
  <si>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</si>
  <si>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</si>
  <si>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</si>
  <si>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</si>
  <si>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</si>
  <si>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</si>
  <si>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</si>
  <si>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</si>
  <si>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</si>
  <si>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</si>
  <si>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</si>
  <si>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Fern Creek</t>
  </si>
  <si>
    <t>No</t>
  </si>
  <si>
    <t>Yes</t>
  </si>
  <si>
    <t>Deep Fill</t>
  </si>
  <si>
    <t>Medium</t>
  </si>
  <si>
    <t>High</t>
  </si>
  <si>
    <t>Very narrow cascade at outlet, big outlet drop. Good size pools downstream. Upstream has evenly distributed shale. Lots of functional woody debris. 11:09</t>
  </si>
  <si>
    <t>Replace with New Open Bottom Structure</t>
  </si>
  <si>
    <t>Chuchinka-Missinka FSR</t>
  </si>
  <si>
    <t>Chuchinka-Crocker FSR</t>
  </si>
  <si>
    <t>Chuchinka-Table FSR</t>
  </si>
  <si>
    <t xml:space="preserve"> Resource Demographic</t>
  </si>
  <si>
    <t xml:space="preserve">Culvert has baffles in it but has significant riprap at the outlet that creates cascade approximately 0.5 m high. 14:36         </t>
  </si>
  <si>
    <t xml:space="preserve">tributary to Missinka River </t>
  </si>
  <si>
    <t>Replace Structure with Streambed Simulation CBS</t>
  </si>
  <si>
    <t>tributary to Anzac River</t>
  </si>
  <si>
    <t>Damaged near outlet. Small stream but flowing. Middle of pipe filled with fines.  11:18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</si>
</sst>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Protection="1">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Alignment="1" applyProtection="1">
      <alignment horizontal="right"/>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1"/>
    </row>
    <row r="8" spans="1:20" x14ac:dyDescent="0.25">
      <c r="A8" s="4" t="s">
        <v>73</v>
      </c>
    </row>
    <row r="9" spans="1:20" x14ac:dyDescent="0.25">
      <c r="A9" s="4" t="s">
        <v>74</v>
      </c>
    </row>
    <row r="10" spans="1:20" x14ac:dyDescent="0.25">
      <c r="A10" s="4" t="s">
        <v>75</v>
      </c>
      <c r="B10" s="82"/>
    </row>
    <row r="11" spans="1:20" x14ac:dyDescent="0.25">
      <c r="A11" s="4"/>
      <c r="B11" s="10"/>
    </row>
    <row r="12" spans="1:20" x14ac:dyDescent="0.25">
      <c r="A12" s="4" t="s">
        <v>36</v>
      </c>
      <c r="B12" s="81"/>
    </row>
    <row r="13" spans="1:20" x14ac:dyDescent="0.25">
      <c r="A13" s="4" t="s">
        <v>37</v>
      </c>
    </row>
    <row r="14" spans="1:20" x14ac:dyDescent="0.25">
      <c r="A14" s="4" t="s">
        <v>38</v>
      </c>
    </row>
    <row r="15" spans="1:20" x14ac:dyDescent="0.25">
      <c r="A15" s="4" t="s">
        <v>39</v>
      </c>
      <c r="B15" s="82"/>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P6" sqref="AP6"/>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44790</v>
      </c>
      <c r="B5" s="58">
        <v>125194</v>
      </c>
      <c r="D5" s="10" t="s">
        <v>92</v>
      </c>
      <c r="E5" s="11">
        <v>10</v>
      </c>
      <c r="F5" s="39">
        <v>563293</v>
      </c>
      <c r="G5" s="39">
        <v>6050578</v>
      </c>
      <c r="H5" s="11" t="s">
        <v>108</v>
      </c>
      <c r="I5" s="11" t="s">
        <v>103</v>
      </c>
      <c r="J5" s="33">
        <v>1263</v>
      </c>
      <c r="K5" s="11" t="s">
        <v>106</v>
      </c>
      <c r="L5" s="10" t="s">
        <v>93</v>
      </c>
      <c r="M5" s="10" t="s">
        <v>94</v>
      </c>
      <c r="N5" s="83">
        <v>1.8</v>
      </c>
      <c r="O5" s="83">
        <v>30</v>
      </c>
      <c r="P5" s="10" t="s">
        <v>96</v>
      </c>
      <c r="Q5" s="84"/>
      <c r="R5" s="10" t="s">
        <v>96</v>
      </c>
      <c r="S5" s="10" t="s">
        <v>96</v>
      </c>
      <c r="T5" s="84"/>
      <c r="U5" s="10">
        <v>4</v>
      </c>
      <c r="V5" s="10">
        <v>1.1000000000000001</v>
      </c>
      <c r="W5" s="10">
        <v>0.3</v>
      </c>
      <c r="X5" s="10" t="s">
        <v>97</v>
      </c>
      <c r="Y5" s="10">
        <v>2</v>
      </c>
      <c r="Z5" s="10">
        <v>2.4</v>
      </c>
      <c r="AA5" s="10">
        <v>2</v>
      </c>
      <c r="AB5" s="10" t="s">
        <v>96</v>
      </c>
      <c r="AC5" s="10" t="s">
        <v>96</v>
      </c>
      <c r="AD5" s="10" t="s">
        <v>98</v>
      </c>
      <c r="AE5" s="10" t="s">
        <v>99</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10" t="s">
        <v>102</v>
      </c>
      <c r="AO5" s="10">
        <v>13</v>
      </c>
      <c r="AP5" s="78" t="s">
        <v>101</v>
      </c>
    </row>
    <row r="6" spans="1:42" ht="30" x14ac:dyDescent="0.25">
      <c r="A6" s="59">
        <v>44787</v>
      </c>
      <c r="B6" s="58">
        <v>6745</v>
      </c>
      <c r="D6" s="10" t="s">
        <v>92</v>
      </c>
      <c r="E6" s="11">
        <v>10</v>
      </c>
      <c r="F6" s="39">
        <v>533992</v>
      </c>
      <c r="G6" s="39">
        <v>6076165</v>
      </c>
      <c r="H6" s="10" t="s">
        <v>110</v>
      </c>
      <c r="I6" s="11" t="s">
        <v>104</v>
      </c>
      <c r="J6" s="33">
        <v>3</v>
      </c>
      <c r="K6" s="10" t="s">
        <v>106</v>
      </c>
      <c r="L6" s="10" t="s">
        <v>93</v>
      </c>
      <c r="M6" s="10" t="s">
        <v>94</v>
      </c>
      <c r="N6" s="83">
        <v>1.6</v>
      </c>
      <c r="O6" s="83">
        <v>14.1</v>
      </c>
      <c r="P6" s="10" t="s">
        <v>96</v>
      </c>
      <c r="Q6" s="84"/>
      <c r="R6" s="10" t="s">
        <v>96</v>
      </c>
      <c r="S6" s="10" t="s">
        <v>96</v>
      </c>
      <c r="T6" s="84"/>
      <c r="U6" s="10">
        <v>0.6</v>
      </c>
      <c r="V6" s="10">
        <v>0</v>
      </c>
      <c r="W6" s="10">
        <v>0</v>
      </c>
      <c r="X6" s="10" t="s">
        <v>96</v>
      </c>
      <c r="Y6" s="10">
        <v>1</v>
      </c>
      <c r="Z6" s="10">
        <v>1.5</v>
      </c>
      <c r="AA6" s="10">
        <v>2</v>
      </c>
      <c r="AB6" s="10" t="s">
        <v>96</v>
      </c>
      <c r="AC6" s="10" t="s">
        <v>96</v>
      </c>
      <c r="AD6" s="10" t="s">
        <v>98</v>
      </c>
      <c r="AE6" s="10" t="s">
        <v>99</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15</v>
      </c>
      <c r="AM6" s="14" t="str">
        <f t="shared" ref="AM6:AM67" si="7">IF(ISBLANK(L6), "", IF(L6 = "Open Bottom Structure", "Passable", IF(L6 = "Other", "Unknown", IF(AL6 &lt; 15, "Passable", IF(AND(AL6 &gt;= 15,AL6 &lt;= 19), "Potential", IF(AL6 &gt; 19, "Barrier", ""))))))</f>
        <v>Potential</v>
      </c>
      <c r="AN6" s="87" t="s">
        <v>109</v>
      </c>
      <c r="AO6" s="87">
        <v>3</v>
      </c>
      <c r="AP6" s="78" t="s">
        <v>111</v>
      </c>
    </row>
    <row r="7" spans="1:42" x14ac:dyDescent="0.25">
      <c r="A7" s="59">
        <v>44788</v>
      </c>
      <c r="B7" s="58">
        <v>125261</v>
      </c>
      <c r="D7" s="10" t="s">
        <v>92</v>
      </c>
      <c r="E7" s="11">
        <v>10</v>
      </c>
      <c r="F7" s="39">
        <v>534600</v>
      </c>
      <c r="G7" s="39">
        <v>6067770</v>
      </c>
      <c r="H7" s="10" t="s">
        <v>95</v>
      </c>
      <c r="I7" s="11" t="s">
        <v>105</v>
      </c>
      <c r="J7" s="33">
        <v>2</v>
      </c>
      <c r="K7" s="10" t="s">
        <v>106</v>
      </c>
      <c r="L7" s="10" t="s">
        <v>93</v>
      </c>
      <c r="M7" s="10" t="s">
        <v>94</v>
      </c>
      <c r="N7" s="21">
        <v>2.1</v>
      </c>
      <c r="O7" s="21">
        <v>5</v>
      </c>
      <c r="P7" s="10" t="s">
        <v>96</v>
      </c>
      <c r="Q7" s="84"/>
      <c r="R7" s="10" t="s">
        <v>96</v>
      </c>
      <c r="S7" s="10" t="s">
        <v>96</v>
      </c>
      <c r="T7" s="84"/>
      <c r="U7" s="10">
        <v>0.8</v>
      </c>
      <c r="V7" s="10">
        <v>0.4</v>
      </c>
      <c r="W7" s="10">
        <v>0.4</v>
      </c>
      <c r="X7" s="10" t="s">
        <v>96</v>
      </c>
      <c r="Y7" s="10">
        <v>1.5</v>
      </c>
      <c r="Z7" s="10">
        <v>5.0999999999999996</v>
      </c>
      <c r="AA7" s="10">
        <v>2</v>
      </c>
      <c r="AB7" s="10" t="s">
        <v>96</v>
      </c>
      <c r="AC7" s="10" t="s">
        <v>96</v>
      </c>
      <c r="AD7" s="10" t="s">
        <v>98</v>
      </c>
      <c r="AE7" s="10" t="s">
        <v>100</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10" t="s">
        <v>102</v>
      </c>
      <c r="AO7" s="10">
        <v>10</v>
      </c>
      <c r="AP7" s="10" t="s">
        <v>107</v>
      </c>
    </row>
    <row r="8" spans="1:42" x14ac:dyDescent="0.25">
      <c r="A8" s="59"/>
      <c r="B8" s="85"/>
      <c r="H8" s="10"/>
      <c r="J8" s="86"/>
      <c r="K8" s="80"/>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0"/>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79"/>
      <c r="G11" s="79"/>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2HmCzvkR4c5l0H/RddvN5xY7qBIgQPxh1QIzvkD7NisjCypycTJssXkpqNSZ12RIxOTeyGYvoFeb7Sgxxm6SVQ==" saltValue="WcjKOznXKNi/qLU3TYLMI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Q8"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2023-06-27T17:11:04Z</dcterms:modified>
</cp:coreProperties>
</file>