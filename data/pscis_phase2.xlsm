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8AA51265-E885-445C-8B3C-C6FB1606C98F}"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<sst xmlns="http://schemas.openxmlformats.org/spreadsheetml/2006/main" count="157" uniqueCount="114">
  <si>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</si>
  <si>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</si>
  <si>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</si>
  <si>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</si>
  <si>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</si>
  <si>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</si>
  <si>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</si>
  <si>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</si>
  <si>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</si>
  <si>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</si>
  <si>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</si>
  <si>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</si>
  <si>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</si>
  <si>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</si>
  <si>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</si>
  <si>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</si>
  <si>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</si>
  <si>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</si>
  <si>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</si>
  <si>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</si>
  <si>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</si>
  <si>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</si>
  <si>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</si>
  <si>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</si>
  <si>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</si>
  <si>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</si>
  <si>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</si>
  <si>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</si>
  <si>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</si>
  <si>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</si>
  <si>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</si>
  <si>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</si>
  <si>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</si>
  <si>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</si>
  <si>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</si>
  <si>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</si>
  <si>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</si>
  <si>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</si>
  <si>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</si>
  <si>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</si>
  <si>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</si>
  <si>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</si>
  <si>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</si>
  <si>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</si>
  <si>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</si>
  <si>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</si>
  <si>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</si>
  <si>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</si>
  <si>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</si>
  <si>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</si>
  <si>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</si>
  <si>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</si>
  <si>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</si>
  <si>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</si>
  <si>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</si>
  <si>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</si>
  <si>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</si>
  <si>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</si>
  <si>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</si>
  <si>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</si>
  <si>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</si>
  <si>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</si>
  <si>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</si>
  <si>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</si>
  <si>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</si>
  <si>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</si>
  <si>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</si>
  <si>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</si>
  <si>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</si>
  <si>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</si>
  <si>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</si>
  <si>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</si>
  <si>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</si>
  <si>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</si>
  <si>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</si>
  <si>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</si>
  <si>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</si>
  <si>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</si>
  <si>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</si>
  <si>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</si>
  <si>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</si>
  <si>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</si>
  <si>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</si>
  <si>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</si>
  <si>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</si>
  <si>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</si>
  <si>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</si>
  <si>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</si>
  <si>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</si>
  <si>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</si>
  <si>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</si>
  <si>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</si>
  <si>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</si>
  <si>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</si>
  <si>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</si>
  <si>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</si>
  <si>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</si>
  <si>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</si>
  <si>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</si>
  <si>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</si>
  <si>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</si>
  <si>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Damaged near outlet. Small stream but flowing. Middle of pipe filled with fines. 11:18</t>
  </si>
  <si>
    <t>Very narrow cascade at outlet, big outlet drop. Good size pools downstream. Upstream has evenly distributed shale. Lots of functional woody debris. 11:09</t>
  </si>
  <si>
    <t xml:space="preserve">Covert has baffles in it but has significant riprap at outlet that creates cascade approximately 1.5 m high. 14:36         </t>
  </si>
  <si>
    <t>Replace with New Open Bottom Structure</t>
  </si>
  <si>
    <t>Chuchinka-Missinka FSR</t>
  </si>
  <si>
    <t>Chuchinka-Crocker FSR</t>
  </si>
  <si>
    <t>Chuchinka-Table FSR</t>
  </si>
  <si>
    <t xml:space="preserve"> Resource Demographic</t>
  </si>
  <si>
    <t>Chuchinka-Arctic FSR</t>
  </si>
  <si>
    <t>Habitat survey done with drone. 11:15:00</t>
  </si>
  <si>
    <t xml:space="preserve">Tributary to Missinka River </t>
  </si>
  <si>
    <t>Tributary to Parsnip</t>
  </si>
  <si>
    <t>Tributary to Parsnip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</si>
</sst>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8" sqref="H8"/>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44790</v>
      </c>
      <c r="B5" s="58">
        <v>125194</v>
      </c>
      <c r="D5" s="10" t="s">
        <v>92</v>
      </c>
      <c r="E5" s="11">
        <v>10</v>
      </c>
      <c r="F5" s="39">
        <v>563293</v>
      </c>
      <c r="G5" s="39">
        <v>6050578</v>
      </c>
      <c r="H5" s="11" t="s">
        <v>111</v>
      </c>
      <c r="I5" s="11" t="s">
        <v>105</v>
      </c>
      <c r="J5" s="33">
        <v>1263</v>
      </c>
      <c r="K5" s="11" t="s">
        <v>108</v>
      </c>
      <c r="L5" s="10" t="s">
        <v>93</v>
      </c>
      <c r="M5" s="10" t="s">
        <v>94</v>
      </c>
      <c r="N5" s="85">
        <v>1.8</v>
      </c>
      <c r="O5" s="85">
        <v>30</v>
      </c>
      <c r="P5" s="10" t="s">
        <v>96</v>
      </c>
      <c r="Q5" s="86"/>
      <c r="R5" s="10" t="s">
        <v>96</v>
      </c>
      <c r="S5" s="10" t="s">
        <v>96</v>
      </c>
      <c r="T5" s="86"/>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87" t="s">
        <v>104</v>
      </c>
      <c r="AO5" s="87">
        <v>13</v>
      </c>
      <c r="AP5" s="78" t="s">
        <v>102</v>
      </c>
    </row>
    <row r="6" spans="1:42" ht="30" x14ac:dyDescent="0.25">
      <c r="A6" s="59">
        <v>44787</v>
      </c>
      <c r="B6" s="58">
        <v>6745</v>
      </c>
      <c r="D6" s="10" t="s">
        <v>92</v>
      </c>
      <c r="E6" s="11">
        <v>10</v>
      </c>
      <c r="F6" s="39">
        <v>533992</v>
      </c>
      <c r="G6" s="39">
        <v>6076165</v>
      </c>
      <c r="H6" s="10" t="s">
        <v>112</v>
      </c>
      <c r="I6" s="11" t="s">
        <v>106</v>
      </c>
      <c r="J6" s="33">
        <v>3</v>
      </c>
      <c r="K6" s="10" t="s">
        <v>108</v>
      </c>
      <c r="L6" s="10" t="s">
        <v>93</v>
      </c>
      <c r="M6" s="10" t="s">
        <v>94</v>
      </c>
      <c r="N6" s="85">
        <v>1.6</v>
      </c>
      <c r="O6" s="85">
        <v>14.1</v>
      </c>
      <c r="P6" s="10" t="s">
        <v>97</v>
      </c>
      <c r="Q6" s="10">
        <v>0.25</v>
      </c>
      <c r="R6" s="10" t="s">
        <v>96</v>
      </c>
      <c r="S6" s="10" t="s">
        <v>96</v>
      </c>
      <c r="T6" s="86"/>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10</v>
      </c>
      <c r="AM6" s="14" t="str">
        <f t="shared" ref="AM6:AM67" si="7">IF(ISBLANK(L6), "", IF(L6 = "Open Bottom Structure", "Passable", IF(L6 = "Other", "Unknown", IF(AL6 &lt; 15, "Passable", IF(AND(AL6 &gt;= 15,AL6 &lt;= 19), "Potential", IF(AL6 &gt; 19, "Barrier", ""))))))</f>
        <v>Passable</v>
      </c>
      <c r="AN6" s="88"/>
      <c r="AO6" s="88"/>
      <c r="AP6" s="78" t="s">
        <v>101</v>
      </c>
    </row>
    <row r="7" spans="1:42" x14ac:dyDescent="0.25">
      <c r="A7" s="59">
        <v>44788</v>
      </c>
      <c r="B7" s="58">
        <v>125261</v>
      </c>
      <c r="D7" s="10" t="s">
        <v>92</v>
      </c>
      <c r="E7" s="11">
        <v>10</v>
      </c>
      <c r="F7" s="39">
        <v>534600</v>
      </c>
      <c r="G7" s="39">
        <v>6067770</v>
      </c>
      <c r="H7" s="10" t="s">
        <v>95</v>
      </c>
      <c r="I7" s="11" t="s">
        <v>107</v>
      </c>
      <c r="J7" s="33">
        <v>2</v>
      </c>
      <c r="K7" s="10" t="s">
        <v>108</v>
      </c>
      <c r="L7" s="10" t="s">
        <v>93</v>
      </c>
      <c r="M7" s="10" t="s">
        <v>94</v>
      </c>
      <c r="N7" s="21">
        <v>2.1</v>
      </c>
      <c r="O7" s="21">
        <v>5</v>
      </c>
      <c r="P7" s="10" t="s">
        <v>96</v>
      </c>
      <c r="Q7" s="86"/>
      <c r="R7" s="10" t="s">
        <v>96</v>
      </c>
      <c r="S7" s="10" t="s">
        <v>96</v>
      </c>
      <c r="T7" s="86"/>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10" t="s">
        <v>104</v>
      </c>
      <c r="AO7" s="10">
        <v>10</v>
      </c>
      <c r="AP7" s="10" t="s">
        <v>103</v>
      </c>
    </row>
    <row r="8" spans="1:42" x14ac:dyDescent="0.25">
      <c r="A8" s="59">
        <v>44788</v>
      </c>
      <c r="B8" s="82">
        <v>125000</v>
      </c>
      <c r="D8" s="10" t="s">
        <v>92</v>
      </c>
      <c r="E8" s="11">
        <v>10</v>
      </c>
      <c r="F8" s="39">
        <v>577540</v>
      </c>
      <c r="G8" s="39">
        <v>6038199</v>
      </c>
      <c r="H8" s="10" t="s">
        <v>113</v>
      </c>
      <c r="I8" s="11" t="s">
        <v>109</v>
      </c>
      <c r="J8" s="79">
        <v>779</v>
      </c>
      <c r="K8" s="81" t="s">
        <v>108</v>
      </c>
      <c r="L8" s="10" t="s">
        <v>93</v>
      </c>
      <c r="M8" s="10" t="s">
        <v>94</v>
      </c>
      <c r="N8" s="21">
        <v>1.5</v>
      </c>
      <c r="O8" s="21">
        <v>18</v>
      </c>
      <c r="P8" s="10" t="s">
        <v>96</v>
      </c>
      <c r="Q8" s="86"/>
      <c r="R8" s="10" t="s">
        <v>96</v>
      </c>
      <c r="S8" s="10" t="s">
        <v>96</v>
      </c>
      <c r="T8" s="86"/>
      <c r="U8" s="10">
        <v>2.5</v>
      </c>
      <c r="V8" s="10">
        <v>0.6</v>
      </c>
      <c r="W8" s="10">
        <v>2</v>
      </c>
      <c r="X8" s="10" t="s">
        <v>96</v>
      </c>
      <c r="Y8" s="10">
        <v>2</v>
      </c>
      <c r="Z8" s="10">
        <v>4.5199999999999996</v>
      </c>
      <c r="AA8" s="10">
        <v>1.5</v>
      </c>
      <c r="AB8" s="10" t="s">
        <v>96</v>
      </c>
      <c r="AC8" s="10" t="s">
        <v>97</v>
      </c>
      <c r="AD8" s="10" t="s">
        <v>98</v>
      </c>
      <c r="AE8" s="10" t="s">
        <v>99</v>
      </c>
      <c r="AF8" s="20">
        <f t="shared" si="0"/>
        <v>3.0133333333333332</v>
      </c>
      <c r="AG8" s="13">
        <f t="shared" si="1"/>
        <v>3</v>
      </c>
      <c r="AH8" s="7">
        <f t="shared" si="2"/>
        <v>10</v>
      </c>
      <c r="AI8" s="7">
        <f t="shared" si="3"/>
        <v>10</v>
      </c>
      <c r="AJ8" s="7">
        <f t="shared" si="4"/>
        <v>5</v>
      </c>
      <c r="AK8" s="7">
        <f t="shared" si="5"/>
        <v>6</v>
      </c>
      <c r="AL8" s="12">
        <f t="shared" si="6"/>
        <v>34</v>
      </c>
      <c r="AM8" s="14" t="str">
        <f t="shared" si="7"/>
        <v>Barrier</v>
      </c>
      <c r="AN8" s="87" t="s">
        <v>104</v>
      </c>
      <c r="AO8" s="87">
        <v>10</v>
      </c>
      <c r="AP8" s="10" t="s">
        <v>110</v>
      </c>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YBcOUn7ONv/3udNfBPHd7roHZ3v1LeW90XDuGpH17y9EzvsvjV7fRi3FVvGU4wtB70/gW1rSg73ah+3Gm0UrSg==" saltValue="NPr80y1VSnd8zt4qv/aSS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2023-02-02T21:51:23Z</dcterms:modified>
</cp:coreProperties>
</file>